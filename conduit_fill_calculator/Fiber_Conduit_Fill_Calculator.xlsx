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ber Fill Calculator" sheetId="1" state="visible" r:id="rId3"/>
    <sheet name="Conduit Data" sheetId="2" state="visible" r:id="rId4"/>
    <sheet name="Fiber Cable Library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<sst xmlns="http://schemas.openxmlformats.org/spreadsheetml/2006/main" count="265" uniqueCount="148">
  <si>
    <t xml:space="preserve">Fiber Optic Conduit Fill Calculator</t>
  </si>
  <si>
    <t xml:space="preserve">For flat-drop, figure-8/messenger, and round fiber cable in conduit or innerduct.</t>
  </si>
  <si>
    <t xml:space="preserve">1. Select Conduit / Innerduct</t>
  </si>
  <si>
    <t xml:space="preserve">Conduit (type &amp; trade size)</t>
  </si>
  <si>
    <t xml:space="preserve">PVC Schedule 40 — 1"</t>
  </si>
  <si>
    <t xml:space="preserve">Conduit internal area (100%), sq in</t>
  </si>
  <si>
    <t xml:space="preserve">Max fill basis</t>
  </si>
  <si>
    <t xml:space="preserve">Flat 40% (typical telecom/innerduct guideline)</t>
  </si>
  <si>
    <t xml:space="preserve">Custom fill % (only used if basis = Custom)</t>
  </si>
  <si>
    <t xml:space="preserve">2. Enter Fiber Cables</t>
  </si>
  <si>
    <t xml:space="preserve">Pick a cable from the library, or choose "Custom (enter shape &amp; dimensions at right)" and fill in the orange cells with the exact cross-section from your cable's datasheet — flat-drop dimensions vary by manufacturer and fiber count, so "Custom" is the most reliable option.</t>
  </si>
  <si>
    <t xml:space="preserve">#</t>
  </si>
  <si>
    <t xml:space="preserve">Cable (from library or Custom)</t>
  </si>
  <si>
    <t xml:space="preserve">Shape (if Custom)</t>
  </si>
  <si>
    <t xml:space="preserve">Dim 1 - width/dia (in)</t>
  </si>
  <si>
    <t xml:space="preserve">Dim 2 - height (in)</t>
  </si>
  <si>
    <t xml:space="preserve">Quantity</t>
  </si>
  <si>
    <t xml:space="preserve">Unit Area (sq in)</t>
  </si>
  <si>
    <t xml:space="preserve">Total Area (sq in)</t>
  </si>
  <si>
    <t xml:space="preserve">Flat Drop, 2F, approx. 2.0mm x 5.0mm (example)</t>
  </si>
  <si>
    <t xml:space="preserve">Custom (enter shape &amp; dimensions at right)</t>
  </si>
  <si>
    <t xml:space="preserve">Flat / Oval (elliptical)</t>
  </si>
  <si>
    <t xml:space="preserve">Totals</t>
  </si>
  <si>
    <t xml:space="preserve">3. Results</t>
  </si>
  <si>
    <t xml:space="preserve">Total number of cables</t>
  </si>
  <si>
    <t xml:space="preserve">Max fill allowed (%)</t>
  </si>
  <si>
    <t xml:space="preserve">Conduit internal area, 100% (sq in)</t>
  </si>
  <si>
    <t xml:space="preserve">Maximum allowed fill area (sq in)</t>
  </si>
  <si>
    <t xml:space="preserve">Total cable fill area (sq in)</t>
  </si>
  <si>
    <t xml:space="preserve">Actual fill (% of conduit area)</t>
  </si>
  <si>
    <t xml:space="preserve">Remaining capacity (sq in)</t>
  </si>
  <si>
    <t xml:space="preserve">Status</t>
  </si>
  <si>
    <t xml:space="preserve">Note: rows below are examples using library entries. Replace with your own cables. For flat-drop cable, "Custom" with datasheet dimensions is more accurate than the library estimates.</t>
  </si>
  <si>
    <t xml:space="preserve">Label</t>
  </si>
  <si>
    <t xml:space="preserve">Conduit / Innerduct Type</t>
  </si>
  <si>
    <t xml:space="preserve">Trade Size</t>
  </si>
  <si>
    <t xml:space="preserve">Internal Area, 100% (sq in)</t>
  </si>
  <si>
    <t xml:space="preserve">EMT — 1/2"</t>
  </si>
  <si>
    <t xml:space="preserve">EMT</t>
  </si>
  <si>
    <t xml:space="preserve">1/2"</t>
  </si>
  <si>
    <t xml:space="preserve">EMT — 3/4"</t>
  </si>
  <si>
    <t xml:space="preserve">3/4"</t>
  </si>
  <si>
    <t xml:space="preserve">EMT — 1"</t>
  </si>
  <si>
    <t xml:space="preserve">1"</t>
  </si>
  <si>
    <t xml:space="preserve">EMT — 1-1/4"</t>
  </si>
  <si>
    <t xml:space="preserve">1-1/4"</t>
  </si>
  <si>
    <t xml:space="preserve">EMT — 1-1/2"</t>
  </si>
  <si>
    <t xml:space="preserve">1-1/2"</t>
  </si>
  <si>
    <t xml:space="preserve">EMT — 2"</t>
  </si>
  <si>
    <t xml:space="preserve">2"</t>
  </si>
  <si>
    <t xml:space="preserve">EMT — 2-1/2"</t>
  </si>
  <si>
    <t xml:space="preserve">2-1/2"</t>
  </si>
  <si>
    <t xml:space="preserve">EMT — 3"</t>
  </si>
  <si>
    <t xml:space="preserve">3"</t>
  </si>
  <si>
    <t xml:space="preserve">EMT — 3-1/2"</t>
  </si>
  <si>
    <t xml:space="preserve">3-1/2"</t>
  </si>
  <si>
    <t xml:space="preserve">EMT — 4"</t>
  </si>
  <si>
    <t xml:space="preserve">4"</t>
  </si>
  <si>
    <t xml:space="preserve">ENT — 1/2"</t>
  </si>
  <si>
    <t xml:space="preserve">ENT</t>
  </si>
  <si>
    <t xml:space="preserve">ENT — 3/4"</t>
  </si>
  <si>
    <t xml:space="preserve">ENT — 1"</t>
  </si>
  <si>
    <t xml:space="preserve">ENT — 1-1/4"</t>
  </si>
  <si>
    <t xml:space="preserve">ENT — 1-1/2"</t>
  </si>
  <si>
    <t xml:space="preserve">ENT — 2"</t>
  </si>
  <si>
    <t xml:space="preserve">RMC — 1/2"</t>
  </si>
  <si>
    <t xml:space="preserve">RMC</t>
  </si>
  <si>
    <t xml:space="preserve">RMC — 3/4"</t>
  </si>
  <si>
    <t xml:space="preserve">RMC — 1"</t>
  </si>
  <si>
    <t xml:space="preserve">RMC — 1-1/4"</t>
  </si>
  <si>
    <t xml:space="preserve">RMC — 1-1/2"</t>
  </si>
  <si>
    <t xml:space="preserve">RMC — 2"</t>
  </si>
  <si>
    <t xml:space="preserve">RMC — 2-1/2"</t>
  </si>
  <si>
    <t xml:space="preserve">RMC — 3"</t>
  </si>
  <si>
    <t xml:space="preserve">RMC — 3-1/2"</t>
  </si>
  <si>
    <t xml:space="preserve">RMC — 4"</t>
  </si>
  <si>
    <t xml:space="preserve">RMC — 5"</t>
  </si>
  <si>
    <t xml:space="preserve">5"</t>
  </si>
  <si>
    <t xml:space="preserve">RMC — 6"</t>
  </si>
  <si>
    <t xml:space="preserve">6"</t>
  </si>
  <si>
    <t xml:space="preserve">PVC Schedule 40 — 1/2"</t>
  </si>
  <si>
    <t xml:space="preserve">PVC Schedule 40</t>
  </si>
  <si>
    <t xml:space="preserve">PVC Schedule 40 — 3/4"</t>
  </si>
  <si>
    <t xml:space="preserve">PVC Schedule 40 — 1-1/4"</t>
  </si>
  <si>
    <t xml:space="preserve">PVC Schedule 40 — 1-1/2"</t>
  </si>
  <si>
    <t xml:space="preserve">PVC Schedule 40 — 2"</t>
  </si>
  <si>
    <t xml:space="preserve">PVC Schedule 40 — 2-1/2"</t>
  </si>
  <si>
    <t xml:space="preserve">PVC Schedule 40 — 3"</t>
  </si>
  <si>
    <t xml:space="preserve">PVC Schedule 40 — 3-1/2"</t>
  </si>
  <si>
    <t xml:space="preserve">PVC Schedule 40 — 4"</t>
  </si>
  <si>
    <t xml:space="preserve">PVC Schedule 40 — 5"</t>
  </si>
  <si>
    <t xml:space="preserve">PVC Schedule 40 — 6"</t>
  </si>
  <si>
    <t xml:space="preserve">PVC Schedule 80 — 1/2"</t>
  </si>
  <si>
    <t xml:space="preserve">PVC Schedule 80</t>
  </si>
  <si>
    <t xml:space="preserve">PVC Schedule 80 — 3/4"</t>
  </si>
  <si>
    <t xml:space="preserve">PVC Schedule 80 — 1"</t>
  </si>
  <si>
    <t xml:space="preserve">PVC Schedule 80 — 1-1/4"</t>
  </si>
  <si>
    <t xml:space="preserve">PVC Schedule 80 — 1-1/2"</t>
  </si>
  <si>
    <t xml:space="preserve">PVC Schedule 80 — 2"</t>
  </si>
  <si>
    <t xml:space="preserve">PVC Schedule 80 — 2-1/2"</t>
  </si>
  <si>
    <t xml:space="preserve">PVC Schedule 80 — 3"</t>
  </si>
  <si>
    <t xml:space="preserve">PVC Schedule 80 — 3-1/2"</t>
  </si>
  <si>
    <t xml:space="preserve">PVC Schedule 80 — 4"</t>
  </si>
  <si>
    <t xml:space="preserve">PVC Schedule 80 — 5"</t>
  </si>
  <si>
    <t xml:space="preserve">PVC Schedule 80 — 6"</t>
  </si>
  <si>
    <t xml:space="preserve">HDPE Conduit/Innerduct, SDR 11 (typical) — 3/4"</t>
  </si>
  <si>
    <t xml:space="preserve">HDPE Conduit/Innerduct, SDR 11 (typical)</t>
  </si>
  <si>
    <t xml:space="preserve">HDPE Conduit/Innerduct, SDR 11 (typical) — 1"</t>
  </si>
  <si>
    <t xml:space="preserve">HDPE Conduit/Innerduct, SDR 11 (typical) — 1-1/4"</t>
  </si>
  <si>
    <t xml:space="preserve">HDPE Conduit/Innerduct, SDR 11 (typical) — 1-1/2"</t>
  </si>
  <si>
    <t xml:space="preserve">HDPE Conduit/Innerduct, SDR 11 (typical) — 2"</t>
  </si>
  <si>
    <t xml:space="preserve">HDPE Conduit/Innerduct, SDR 13.5 (typical) — 3/4"</t>
  </si>
  <si>
    <t xml:space="preserve">HDPE Conduit/Innerduct, SDR 13.5 (typical)</t>
  </si>
  <si>
    <t xml:space="preserve">HDPE Conduit/Innerduct, SDR 13.5 (typical) — 1"</t>
  </si>
  <si>
    <t xml:space="preserve">HDPE Conduit/Innerduct, SDR 13.5 (typical) — 1-1/4"</t>
  </si>
  <si>
    <t xml:space="preserve">HDPE Conduit/Innerduct, SDR 13.5 (typical) — 1-1/2"</t>
  </si>
  <si>
    <t xml:space="preserve">HDPE Conduit/Innerduct, SDR 13.5 (typical) — 2"</t>
  </si>
  <si>
    <t xml:space="preserve">EMT / ENT / RMC / PVC Schedule 40 &amp; 80: NEC Chapter 9, Table 4 (2020 NEC) — commonly published reference figures. Verify against the current NEC edition and local amendments.</t>
  </si>
  <si>
    <t xml:space="preserve">HDPE conduit/innerduct rows are TYPICAL/EXAMPLE inside-diameter areas only — actual ID varies by manufacturer and SDR/wall-thickness rating. Confirm the true ID from your conduit's spec sheet and edit these rows (or add new ones) before relying on the result.</t>
  </si>
  <si>
    <t xml:space="preserve">Shape</t>
  </si>
  <si>
    <t xml:space="preserve">Area (sq in)</t>
  </si>
  <si>
    <t xml:space="preserve">Flat Drop, 4F, approx. 2.0mm x 5.8mm (example)</t>
  </si>
  <si>
    <t xml:space="preserve">Flat Drop, 6-8F, approx. 2.5mm x 6.5mm (example)</t>
  </si>
  <si>
    <t xml:space="preserve">Flat Drop, 12F, approx. 3.0mm x 8.0mm (example)</t>
  </si>
  <si>
    <t xml:space="preserve">Round Self-Support Drop (fig-8), approx. 5.0-8.0mm od (example)</t>
  </si>
  <si>
    <t xml:space="preserve">Round</t>
  </si>
  <si>
    <t xml:space="preserve">Round Simplex Drop, approx. 3.0mm od (example)</t>
  </si>
  <si>
    <t xml:space="preserve">Round Micro Drop, approx. 2.0mm od (example)</t>
  </si>
  <si>
    <t xml:space="preserve">Enter on main tab</t>
  </si>
  <si>
    <t xml:space="preserve">EXAMPLE DIMENSIONS ONLY. Flat-drop and drop-cable cross sections vary significantly by manufacturer and fiber count and are NOT standardized like copper conductor tables. These rows are illustrative starting points; always confirm exact width x height (or diameter) from the specific cable's datasheet, and edit or add rows here — or use "Custom (enter shape &amp; dimensions at right)" on the main tab — with the real dimensions before relying on this calculator.</t>
  </si>
  <si>
    <t xml:space="preserve">Flat/oval cross sections are approximated as an ellipse (Area = pi x (width/2) x (height/2)). This is a reasonable industry approximation for a rounded flat-drop jacket; for a more conservative (larger) estimate, use the "Flat (rectangular estimate)" shape option instead, which uses Area = width x height.</t>
  </si>
  <si>
    <t xml:space="preserve">How to use this workbook</t>
  </si>
  <si>
    <t xml:space="preserve">1. Select conduit/innerduct</t>
  </si>
  <si>
    <t xml:space="preserve">On the "Fiber Fill Calculator" tab, choose the conduit or innerduct type and trade size from the yellow dropdown in cell C6.</t>
  </si>
  <si>
    <t xml:space="preserve">2. Choose a fill basis</t>
  </si>
  <si>
    <t xml:space="preserve">Cell C8 sets the maximum allowed fill percentage: the NEC Chapter 9, Table 1 curve (53% for 1 cable, 31% for 2, 40% for 3+, the same ratios used for electrical conductors), a flat 40% (a common telecom/innerduct rule of thumb), or a Custom % you set in C9 (e.g. some innerduct manufacturers or project specs call for a different max, such as 50-60% for cell-type innerduct).</t>
  </si>
  <si>
    <t xml:space="preserve">3. List cables</t>
  </si>
  <si>
    <t xml:space="preserve">In the yellow/orange table, pick each cable from the library dropdown, or select "Custom (enter shape &amp; dimensions at right)" and fill in the orange Shape/Dim 1/Dim 2 cells yourself using the exact cross-section from the cable's datasheet. Enter the quantity of that cable. Two example rows are pre-filled — replace them with your own cables and clear unused rows.</t>
  </si>
  <si>
    <t xml:space="preserve">4. Read results</t>
  </si>
  <si>
    <t xml:space="preserve">The Results section shows total cable fill area, the maximum area allowed, the actual fill percentage, remaining capacity, and a PASS/FAIL status.</t>
  </si>
  <si>
    <t xml:space="preserve">5. Adjust as needed</t>
  </si>
  <si>
    <t xml:space="preserve">If the status is FAIL, remove/relocate cables or choose a larger conduit/innerduct in C6 until the status reads PASS.</t>
  </si>
  <si>
    <t xml:space="preserve">Why fiber is different from copper conductor fill</t>
  </si>
  <si>
    <t xml:space="preserve">NEC Chapter 9, Table 5 gives standardized cross-sectional areas for round copper building-wire conductors by AWG/kcmil size. Fiber drop cable has no equivalent standardized table: flat-drop jackets are non-round and their dimensions are set by each manufacturer and fiber count. This workbook therefore lets you enter the real width x height (or diameter) directly, and approximates a flat/oval jacket as an ellipse (or, conservatively, a rectangle).</t>
  </si>
  <si>
    <t xml:space="preserve">Reference data</t>
  </si>
  <si>
    <t xml:space="preserve">The "Conduit Data" tab holds conduit/innerduct internal areas (NEC Chapter 9, Table 4 for standard electrical conduit; typical example figures for HDPE innerduct — verify against your product's spec sheet). The "Fiber Cable Library" tab holds example flat-drop and round drop cable dimensions — replace these with your actual cable's datasheet dimensions for an accurate result.</t>
  </si>
  <si>
    <t xml:space="preserve">Important</t>
  </si>
  <si>
    <t xml:space="preserve">Always confirm conduit/innerduct internal dimensions and cable cross-section dimensions from manufacturer datasheets, and confirm the fill percentage your project/authority having jurisdiction requires, before relying on this calculation for an actual installation.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</si>
</sst>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%"/>
    <numFmt numFmtId="167" formatCode="0.000"/>
    <numFmt numFmtId="168" formatCode="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i val="true"/>
      <sz val="9"/>
      <color rgb="FF9C000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E2EFDA"/>
        <bgColor rgb="FFC6EFCE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9" min="8" style="0" width="15"/>
    <col collapsed="false" customWidth="true" hidden="false" outlineLevel="0" max="10" min="10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</row>
    <row r="7" customFormat="false" ht="15" hidden="false" customHeight="false" outlineLevel="0" collapsed="false">
      <c r="B7" s="4" t="s">
        <v>5</v>
      </c>
      <c r="C7" s="6" t="n">
        <f aca="false">IFERROR(INDEX('Conduit Data'!$D$2:$D$200,MATCH($C$6,'Conduit Data'!$A$2:$A$200,0)),"Select conduit")</f>
        <v>0.832</v>
      </c>
      <c r="D7" s="6"/>
      <c r="E7" s="6"/>
    </row>
    <row r="8" customFormat="false" ht="15" hidden="false" customHeight="false" outlineLevel="0" collapsed="false">
      <c r="B8" s="4" t="s">
        <v>6</v>
      </c>
      <c r="C8" s="5" t="s">
        <v>7</v>
      </c>
      <c r="D8" s="5"/>
      <c r="E8" s="5"/>
    </row>
    <row r="9" customFormat="false" ht="15" hidden="false" customHeight="false" outlineLevel="0" collapsed="false">
      <c r="B9" s="4" t="s">
        <v>8</v>
      </c>
      <c r="C9" s="7" t="n">
        <v>0.4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8" t="s">
        <v>10</v>
      </c>
      <c r="C12" s="8"/>
      <c r="D12" s="8"/>
      <c r="E12" s="8"/>
      <c r="F12" s="8"/>
      <c r="G12" s="8"/>
      <c r="H12" s="8"/>
      <c r="I12" s="8"/>
      <c r="J12" s="8"/>
    </row>
    <row r="14" customFormat="false" ht="26.85" hidden="false" customHeight="false" outlineLevel="0" collapsed="false">
      <c r="B14" s="9" t="s">
        <v>11</v>
      </c>
      <c r="C14" s="9" t="s">
        <v>12</v>
      </c>
      <c r="D14" s="9" t="s">
        <v>13</v>
      </c>
      <c r="E14" s="9" t="s">
        <v>14</v>
      </c>
      <c r="F14" s="9" t="s">
        <v>15</v>
      </c>
      <c r="G14" s="9" t="s">
        <v>16</v>
      </c>
      <c r="H14" s="9" t="s">
        <v>17</v>
      </c>
      <c r="I14" s="9" t="s">
        <v>18</v>
      </c>
    </row>
    <row r="15" customFormat="false" ht="15" hidden="false" customHeight="false" outlineLevel="0" collapsed="false">
      <c r="B15" s="10" t="n">
        <v>1</v>
      </c>
      <c r="C15" s="5" t="s">
        <v>19</v>
      </c>
      <c r="D15" s="11"/>
      <c r="E15" s="12"/>
      <c r="F15" s="12"/>
      <c r="G15" s="13" t="n">
        <v>4</v>
      </c>
      <c r="H15" s="14" t="n">
        <f aca="false">IF(C15="","",IF(C15="Custom (enter shape &amp; dimensions at right)",IF(D15="Round",PI()*(E15/2)^2,IF(D15="Flat / Oval (elliptical)",PI()*(E15/2)*(F15/2),IF(D15="Flat (rectangular estimate)",E15*F15,""))),IFERROR(INDEX('Fiber Cable Library'!$E$2:$E$200,MATCH(C15,'Fiber Cable Library'!$A$2:$A$200,0)),"")))</f>
        <v>0.0122231516169545</v>
      </c>
      <c r="I15" s="14" t="n">
        <f aca="false">IF(AND(C15&lt;&gt;"",H15&lt;&gt;"",G15&lt;&gt;""),H15*G15,"")</f>
        <v>0.048892606467818</v>
      </c>
    </row>
    <row r="16" customFormat="false" ht="15" hidden="false" customHeight="false" outlineLevel="0" collapsed="false">
      <c r="B16" s="10" t="n">
        <v>2</v>
      </c>
      <c r="C16" s="5" t="s">
        <v>20</v>
      </c>
      <c r="D16" s="11" t="s">
        <v>21</v>
      </c>
      <c r="E16" s="12" t="n">
        <v>0.2</v>
      </c>
      <c r="F16" s="12" t="n">
        <v>0.35</v>
      </c>
      <c r="G16" s="13" t="n">
        <v>2</v>
      </c>
      <c r="H16" s="14" t="n">
        <f aca="false">IF(C16="","",IF(C16="Custom (enter shape &amp; dimensions at right)",IF(D16="Round",PI()*(E16/2)^2,IF(D16="Flat / Oval (elliptical)",PI()*(E16/2)*(F16/2),IF(D16="Flat (rectangular estimate)",E16*F16,""))),IFERROR(INDEX('Fiber Cable Library'!$E$2:$E$200,MATCH(C16,'Fiber Cable Library'!$A$2:$A$200,0)),"")))</f>
        <v>0.0549778714378214</v>
      </c>
      <c r="I16" s="14" t="n">
        <f aca="false">IF(AND(C16&lt;&gt;"",H16&lt;&gt;"",G16&lt;&gt;""),H16*G16,"")</f>
        <v>0.109955742875643</v>
      </c>
    </row>
    <row r="17" customFormat="false" ht="15" hidden="false" customHeight="false" outlineLevel="0" collapsed="false">
      <c r="B17" s="10" t="n">
        <v>3</v>
      </c>
      <c r="C17" s="5"/>
      <c r="D17" s="11"/>
      <c r="E17" s="12"/>
      <c r="F17" s="12"/>
      <c r="G17" s="13"/>
      <c r="H17" s="14" t="str">
        <f aca="false">IF(C17="","",IF(C17="Custom (enter shape &amp; dimensions at right)",IF(D17="Round",PI()*(E17/2)^2,IF(D17="Flat / Oval (elliptical)",PI()*(E17/2)*(F17/2),IF(D17="Flat (rectangular estimate)",E17*F17,""))),IFERROR(INDEX('Fiber Cable Library'!$E$2:$E$200,MATCH(C17,'Fiber Cable Library'!$A$2:$A$200,0)),"")))</f>
        <v/>
      </c>
      <c r="I17" s="14" t="str">
        <f aca="false">IF(AND(C17&lt;&gt;"",H17&lt;&gt;"",G17&lt;&gt;""),H17*G17,"")</f>
        <v/>
      </c>
    </row>
    <row r="18" customFormat="false" ht="15" hidden="false" customHeight="false" outlineLevel="0" collapsed="false">
      <c r="B18" s="10" t="n">
        <v>4</v>
      </c>
      <c r="C18" s="5"/>
      <c r="D18" s="11"/>
      <c r="E18" s="12"/>
      <c r="F18" s="12"/>
      <c r="G18" s="13"/>
      <c r="H18" s="14" t="str">
        <f aca="false">IF(C18="","",IF(C18="Custom (enter shape &amp; dimensions at right)",IF(D18="Round",PI()*(E18/2)^2,IF(D18="Flat / Oval (elliptical)",PI()*(E18/2)*(F18/2),IF(D18="Flat (rectangular estimate)",E18*F18,""))),IFERROR(INDEX('Fiber Cable Library'!$E$2:$E$200,MATCH(C18,'Fiber Cable Library'!$A$2:$A$200,0)),"")))</f>
        <v/>
      </c>
      <c r="I18" s="14" t="str">
        <f aca="false">IF(AND(C18&lt;&gt;"",H18&lt;&gt;"",G18&lt;&gt;""),H18*G18,"")</f>
        <v/>
      </c>
    </row>
    <row r="19" customFormat="false" ht="15" hidden="false" customHeight="false" outlineLevel="0" collapsed="false">
      <c r="B19" s="10" t="n">
        <v>5</v>
      </c>
      <c r="C19" s="5"/>
      <c r="D19" s="11"/>
      <c r="E19" s="12"/>
      <c r="F19" s="12"/>
      <c r="G19" s="13"/>
      <c r="H19" s="14" t="str">
        <f aca="false">IF(C19="","",IF(C19="Custom (enter shape &amp; dimensions at right)",IF(D19="Round",PI()*(E19/2)^2,IF(D19="Flat / Oval (elliptical)",PI()*(E19/2)*(F19/2),IF(D19="Flat (rectangular estimate)",E19*F19,""))),IFERROR(INDEX('Fiber Cable Library'!$E$2:$E$200,MATCH(C19,'Fiber Cable Library'!$A$2:$A$200,0)),"")))</f>
        <v/>
      </c>
      <c r="I19" s="14" t="str">
        <f aca="false">IF(AND(C19&lt;&gt;"",H19&lt;&gt;"",G19&lt;&gt;""),H19*G19,"")</f>
        <v/>
      </c>
    </row>
    <row r="20" customFormat="false" ht="15" hidden="false" customHeight="false" outlineLevel="0" collapsed="false">
      <c r="B20" s="10" t="n">
        <v>6</v>
      </c>
      <c r="C20" s="5"/>
      <c r="D20" s="11"/>
      <c r="E20" s="12"/>
      <c r="F20" s="12"/>
      <c r="G20" s="13"/>
      <c r="H20" s="14" t="str">
        <f aca="false">IF(C20="","",IF(C20="Custom (enter shape &amp; dimensions at right)",IF(D20="Round",PI()*(E20/2)^2,IF(D20="Flat / Oval (elliptical)",PI()*(E20/2)*(F20/2),IF(D20="Flat (rectangular estimate)",E20*F20,""))),IFERROR(INDEX('Fiber Cable Library'!$E$2:$E$200,MATCH(C20,'Fiber Cable Library'!$A$2:$A$200,0)),"")))</f>
        <v/>
      </c>
      <c r="I20" s="14" t="str">
        <f aca="false">IF(AND(C20&lt;&gt;"",H20&lt;&gt;"",G20&lt;&gt;""),H20*G20,"")</f>
        <v/>
      </c>
    </row>
    <row r="21" customFormat="false" ht="15" hidden="false" customHeight="false" outlineLevel="0" collapsed="false">
      <c r="B21" s="10" t="n">
        <v>7</v>
      </c>
      <c r="C21" s="5"/>
      <c r="D21" s="11"/>
      <c r="E21" s="12"/>
      <c r="F21" s="12"/>
      <c r="G21" s="13"/>
      <c r="H21" s="14" t="str">
        <f aca="false">IF(C21="","",IF(C21="Custom (enter shape &amp; dimensions at right)",IF(D21="Round",PI()*(E21/2)^2,IF(D21="Flat / Oval (elliptical)",PI()*(E21/2)*(F21/2),IF(D21="Flat (rectangular estimate)",E21*F21,""))),IFERROR(INDEX('Fiber Cable Library'!$E$2:$E$200,MATCH(C21,'Fiber Cable Library'!$A$2:$A$200,0)),"")))</f>
        <v/>
      </c>
      <c r="I21" s="14" t="str">
        <f aca="false">IF(AND(C21&lt;&gt;"",H21&lt;&gt;"",G21&lt;&gt;""),H21*G21,"")</f>
        <v/>
      </c>
    </row>
    <row r="22" customFormat="false" ht="15" hidden="false" customHeight="false" outlineLevel="0" collapsed="false">
      <c r="B22" s="10" t="n">
        <v>8</v>
      </c>
      <c r="C22" s="5"/>
      <c r="D22" s="11"/>
      <c r="E22" s="12"/>
      <c r="F22" s="12"/>
      <c r="G22" s="13"/>
      <c r="H22" s="14" t="str">
        <f aca="false">IF(C22="","",IF(C22="Custom (enter shape &amp; dimensions at right)",IF(D22="Round",PI()*(E22/2)^2,IF(D22="Flat / Oval (elliptical)",PI()*(E22/2)*(F22/2),IF(D22="Flat (rectangular estimate)",E22*F22,""))),IFERROR(INDEX('Fiber Cable Library'!$E$2:$E$200,MATCH(C22,'Fiber Cable Library'!$A$2:$A$200,0)),"")))</f>
        <v/>
      </c>
      <c r="I22" s="14" t="str">
        <f aca="false">IF(AND(C22&lt;&gt;"",H22&lt;&gt;"",G22&lt;&gt;""),H22*G22,"")</f>
        <v/>
      </c>
    </row>
    <row r="23" customFormat="false" ht="15" hidden="false" customHeight="false" outlineLevel="0" collapsed="false">
      <c r="B23" s="10" t="n">
        <v>9</v>
      </c>
      <c r="C23" s="5"/>
      <c r="D23" s="11"/>
      <c r="E23" s="12"/>
      <c r="F23" s="12"/>
      <c r="G23" s="13"/>
      <c r="H23" s="14" t="str">
        <f aca="false">IF(C23="","",IF(C23="Custom (enter shape &amp; dimensions at right)",IF(D23="Round",PI()*(E23/2)^2,IF(D23="Flat / Oval (elliptical)",PI()*(E23/2)*(F23/2),IF(D23="Flat (rectangular estimate)",E23*F23,""))),IFERROR(INDEX('Fiber Cable Library'!$E$2:$E$200,MATCH(C23,'Fiber Cable Library'!$A$2:$A$200,0)),"")))</f>
        <v/>
      </c>
      <c r="I23" s="14" t="str">
        <f aca="false">IF(AND(C23&lt;&gt;"",H23&lt;&gt;"",G23&lt;&gt;""),H23*G23,"")</f>
        <v/>
      </c>
    </row>
    <row r="24" customFormat="false" ht="15" hidden="false" customHeight="false" outlineLevel="0" collapsed="false">
      <c r="B24" s="10" t="n">
        <v>10</v>
      </c>
      <c r="C24" s="5"/>
      <c r="D24" s="11"/>
      <c r="E24" s="12"/>
      <c r="F24" s="12"/>
      <c r="G24" s="13"/>
      <c r="H24" s="14" t="str">
        <f aca="false">IF(C24="","",IF(C24="Custom (enter shape &amp; dimensions at right)",IF(D24="Round",PI()*(E24/2)^2,IF(D24="Flat / Oval (elliptical)",PI()*(E24/2)*(F24/2),IF(D24="Flat (rectangular estimate)",E24*F24,""))),IFERROR(INDEX('Fiber Cable Library'!$E$2:$E$200,MATCH(C24,'Fiber Cable Library'!$A$2:$A$200,0)),"")))</f>
        <v/>
      </c>
      <c r="I24" s="14" t="str">
        <f aca="false">IF(AND(C24&lt;&gt;"",H24&lt;&gt;"",G24&lt;&gt;""),H24*G24,"")</f>
        <v/>
      </c>
    </row>
    <row r="25" customFormat="false" ht="15" hidden="false" customHeight="false" outlineLevel="0" collapsed="false">
      <c r="B25" s="10" t="n">
        <v>11</v>
      </c>
      <c r="C25" s="5"/>
      <c r="D25" s="11"/>
      <c r="E25" s="12"/>
      <c r="F25" s="12"/>
      <c r="G25" s="13"/>
      <c r="H25" s="14" t="str">
        <f aca="false">IF(C25="","",IF(C25="Custom (enter shape &amp; dimensions at right)",IF(D25="Round",PI()*(E25/2)^2,IF(D25="Flat / Oval (elliptical)",PI()*(E25/2)*(F25/2),IF(D25="Flat (rectangular estimate)",E25*F25,""))),IFERROR(INDEX('Fiber Cable Library'!$E$2:$E$200,MATCH(C25,'Fiber Cable Library'!$A$2:$A$200,0)),"")))</f>
        <v/>
      </c>
      <c r="I25" s="14" t="str">
        <f aca="false">IF(AND(C25&lt;&gt;"",H25&lt;&gt;"",G25&lt;&gt;""),H25*G25,"")</f>
        <v/>
      </c>
    </row>
    <row r="26" customFormat="false" ht="15" hidden="false" customHeight="false" outlineLevel="0" collapsed="false">
      <c r="B26" s="10" t="n">
        <v>12</v>
      </c>
      <c r="C26" s="5"/>
      <c r="D26" s="11"/>
      <c r="E26" s="12"/>
      <c r="F26" s="12"/>
      <c r="G26" s="13"/>
      <c r="H26" s="14" t="str">
        <f aca="false">IF(C26="","",IF(C26="Custom (enter shape &amp; dimensions at right)",IF(D26="Round",PI()*(E26/2)^2,IF(D26="Flat / Oval (elliptical)",PI()*(E26/2)*(F26/2),IF(D26="Flat (rectangular estimate)",E26*F26,""))),IFERROR(INDEX('Fiber Cable Library'!$E$2:$E$200,MATCH(C26,'Fiber Cable Library'!$A$2:$A$200,0)),"")))</f>
        <v/>
      </c>
      <c r="I26" s="14" t="str">
        <f aca="false">IF(AND(C26&lt;&gt;"",H26&lt;&gt;"",G26&lt;&gt;""),H26*G26,"")</f>
        <v/>
      </c>
    </row>
    <row r="27" customFormat="false" ht="15" hidden="false" customHeight="false" outlineLevel="0" collapsed="false">
      <c r="B27" s="10" t="n">
        <v>13</v>
      </c>
      <c r="C27" s="5"/>
      <c r="D27" s="11"/>
      <c r="E27" s="12"/>
      <c r="F27" s="12"/>
      <c r="G27" s="13"/>
      <c r="H27" s="14" t="str">
        <f aca="false">IF(C27="","",IF(C27="Custom (enter shape &amp; dimensions at right)",IF(D27="Round",PI()*(E27/2)^2,IF(D27="Flat / Oval (elliptical)",PI()*(E27/2)*(F27/2),IF(D27="Flat (rectangular estimate)",E27*F27,""))),IFERROR(INDEX('Fiber Cable Library'!$E$2:$E$200,MATCH(C27,'Fiber Cable Library'!$A$2:$A$200,0)),"")))</f>
        <v/>
      </c>
      <c r="I27" s="14" t="str">
        <f aca="false">IF(AND(C27&lt;&gt;"",H27&lt;&gt;"",G27&lt;&gt;""),H27*G27,"")</f>
        <v/>
      </c>
    </row>
    <row r="28" customFormat="false" ht="15" hidden="false" customHeight="false" outlineLevel="0" collapsed="false">
      <c r="B28" s="10" t="n">
        <v>14</v>
      </c>
      <c r="C28" s="5"/>
      <c r="D28" s="11"/>
      <c r="E28" s="12"/>
      <c r="F28" s="12"/>
      <c r="G28" s="13"/>
      <c r="H28" s="14" t="str">
        <f aca="false">IF(C28="","",IF(C28="Custom (enter shape &amp; dimensions at right)",IF(D28="Round",PI()*(E28/2)^2,IF(D28="Flat / Oval (elliptical)",PI()*(E28/2)*(F28/2),IF(D28="Flat (rectangular estimate)",E28*F28,""))),IFERROR(INDEX('Fiber Cable Library'!$E$2:$E$200,MATCH(C28,'Fiber Cable Library'!$A$2:$A$200,0)),"")))</f>
        <v/>
      </c>
      <c r="I28" s="14" t="str">
        <f aca="false">IF(AND(C28&lt;&gt;"",H28&lt;&gt;"",G28&lt;&gt;""),H28*G28,"")</f>
        <v/>
      </c>
    </row>
    <row r="29" customFormat="false" ht="15" hidden="false" customHeight="false" outlineLevel="0" collapsed="false">
      <c r="B29" s="15" t="s">
        <v>22</v>
      </c>
      <c r="C29" s="16"/>
      <c r="D29" s="16"/>
      <c r="E29" s="16"/>
      <c r="F29" s="16"/>
      <c r="G29" s="15" t="n">
        <f aca="false">SUM(G15:G28)</f>
        <v>6</v>
      </c>
      <c r="H29" s="16"/>
      <c r="I29" s="17" t="n">
        <f aca="false">SUM(I15:I28)</f>
        <v>0.158848349343461</v>
      </c>
    </row>
    <row r="31" customFormat="false" ht="15" hidden="false" customHeight="false" outlineLevel="0" collapsed="false">
      <c r="B31" s="3" t="s">
        <v>23</v>
      </c>
    </row>
    <row r="32" customFormat="false" ht="15" hidden="false" customHeight="false" outlineLevel="0" collapsed="false">
      <c r="B32" s="15" t="s">
        <v>24</v>
      </c>
      <c r="D32" s="18" t="n">
        <f aca="false">G29</f>
        <v>6</v>
      </c>
    </row>
    <row r="33" customFormat="false" ht="15" hidden="false" customHeight="false" outlineLevel="0" collapsed="false">
      <c r="B33" s="15" t="s">
        <v>25</v>
      </c>
      <c r="D33" s="19" t="n">
        <f aca="false">IF($C$8="NEC Ch.9 Table 1 (53%/31%/40%)",IF(D32=0,"",IF(D32=1,0.53,IF(D32=2,0.31,0.4))),IF($C$8="Flat 40% (typical telecom/innerduct guideline)",0.4,$C$9))</f>
        <v>0.4</v>
      </c>
    </row>
    <row r="34" customFormat="false" ht="15" hidden="false" customHeight="false" outlineLevel="0" collapsed="false">
      <c r="B34" s="15" t="s">
        <v>26</v>
      </c>
      <c r="D34" s="6" t="n">
        <f aca="false">C7</f>
        <v>0.832</v>
      </c>
    </row>
    <row r="35" customFormat="false" ht="15" hidden="false" customHeight="false" outlineLevel="0" collapsed="false">
      <c r="B35" s="15" t="s">
        <v>27</v>
      </c>
      <c r="D35" s="6" t="n">
        <f aca="false">IF(OR(D33="",D34=""),"",D34*D33)</f>
        <v>0.3328</v>
      </c>
    </row>
    <row r="36" customFormat="false" ht="15" hidden="false" customHeight="false" outlineLevel="0" collapsed="false">
      <c r="B36" s="15" t="s">
        <v>28</v>
      </c>
      <c r="D36" s="6" t="n">
        <f aca="false">I29</f>
        <v>0.158848349343461</v>
      </c>
    </row>
    <row r="37" customFormat="false" ht="15" hidden="false" customHeight="false" outlineLevel="0" collapsed="false">
      <c r="B37" s="15" t="s">
        <v>29</v>
      </c>
      <c r="D37" s="20" t="n">
        <f aca="false">IF(OR(D34="",D34=0),"",D36/D34)</f>
        <v>0.190923496807044</v>
      </c>
    </row>
    <row r="38" customFormat="false" ht="15" hidden="false" customHeight="false" outlineLevel="0" collapsed="false">
      <c r="B38" s="15" t="s">
        <v>30</v>
      </c>
      <c r="D38" s="6" t="n">
        <f aca="false">IF(D35="","",D35-D36)</f>
        <v>0.173951650656539</v>
      </c>
    </row>
    <row r="39" customFormat="false" ht="15" hidden="false" customHeight="false" outlineLevel="0" collapsed="false">
      <c r="B39" s="15" t="s">
        <v>31</v>
      </c>
      <c r="D39" s="21" t="str">
        <f aca="false">IF(D35="","Select conduit and cables",IF(D36&lt;=D35,"PASS - within allowed fill","FAIL - exceeds allowed fill"))</f>
        <v>PASS - within allowed fill</v>
      </c>
    </row>
    <row r="41" customFormat="false" ht="15" hidden="false" customHeight="false" outlineLevel="0" collapsed="false">
      <c r="B41" s="8" t="s">
        <v>32</v>
      </c>
      <c r="C41" s="8"/>
      <c r="D41" s="8"/>
      <c r="E41" s="8"/>
      <c r="F41" s="8"/>
      <c r="G41" s="8"/>
      <c r="H41" s="8"/>
      <c r="I41" s="8"/>
    </row>
  </sheetData>
  <mergeCells count="6">
    <mergeCell ref="B3:J3"/>
    <mergeCell ref="C6:E6"/>
    <mergeCell ref="C7:E7"/>
    <mergeCell ref="C8:E8"/>
    <mergeCell ref="B12:J12"/>
    <mergeCell ref="B41:I41"/>
  </mergeCells>
  <conditionalFormatting sqref="D39">
    <cfRule type="expression" priority="2" aboveAverage="0" equalAverage="0" bottom="0" percent="0" rank="0" text="" dxfId="0">
      <formula>LEFT(D39,4)="PASS"</formula>
    </cfRule>
    <cfRule type="expression" priority="3" aboveAverage="0" equalAverage="0" bottom="0" percent="0" rank="0" text="" dxfId="1">
      <formula>LEFT(D39,4)="FAIL"</formula>
    </cfRule>
  </conditionalFormatting>
  <dataValidations count="4">
    <dataValidation allowBlank="true" errorStyle="stop" operator="between" showDropDown="false" showErrorMessage="false" showInputMessage="false" sqref="C6" type="list">
      <formula1>'Conduit Data'!$A$2:$A$200</formula1>
      <formula2>0</formula2>
    </dataValidation>
    <dataValidation allowBlank="false" errorStyle="stop" operator="between" showDropDown="false" showErrorMessage="false" showInputMessage="false" sqref="C8" type="list">
      <formula1>"NEC Ch.9 Table 1 (53%/31%/40%),Flat 40% (typical telecom/innerduct guideline),Custom %"</formula1>
      <formula2>0</formula2>
    </dataValidation>
    <dataValidation allowBlank="true" errorStyle="stop" operator="between" showDropDown="false" showErrorMessage="false" showInputMessage="false" sqref="C15:C28" type="list">
      <formula1>'Fiber Cable Library'!$A$2:$A$200</formula1>
      <formula2>0</formula2>
    </dataValidation>
    <dataValidation allowBlank="true" errorStyle="stop" operator="between" showDropDown="false" showErrorMessage="false" showInputMessage="false" sqref="D15:D28" type="list">
      <formula1>"Round,Flat / Oval (elliptical),Flat (rectangular estimate)"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9" t="s">
        <v>33</v>
      </c>
      <c r="B1" s="9" t="s">
        <v>34</v>
      </c>
      <c r="C1" s="9" t="s">
        <v>35</v>
      </c>
      <c r="D1" s="9" t="s">
        <v>36</v>
      </c>
    </row>
    <row r="2" customFormat="false" ht="15" hidden="false" customHeight="false" outlineLevel="0" collapsed="false">
      <c r="A2" s="22" t="s">
        <v>37</v>
      </c>
      <c r="B2" s="22" t="s">
        <v>38</v>
      </c>
      <c r="C2" s="22" t="s">
        <v>39</v>
      </c>
      <c r="D2" s="23" t="n">
        <v>0.304</v>
      </c>
    </row>
    <row r="3" customFormat="false" ht="15" hidden="false" customHeight="false" outlineLevel="0" collapsed="false">
      <c r="A3" s="22" t="s">
        <v>40</v>
      </c>
      <c r="B3" s="22" t="s">
        <v>38</v>
      </c>
      <c r="C3" s="22" t="s">
        <v>41</v>
      </c>
      <c r="D3" s="23" t="n">
        <v>0.533</v>
      </c>
    </row>
    <row r="4" customFormat="false" ht="15" hidden="false" customHeight="false" outlineLevel="0" collapsed="false">
      <c r="A4" s="22" t="s">
        <v>42</v>
      </c>
      <c r="B4" s="22" t="s">
        <v>38</v>
      </c>
      <c r="C4" s="22" t="s">
        <v>43</v>
      </c>
      <c r="D4" s="23" t="n">
        <v>0.864</v>
      </c>
    </row>
    <row r="5" customFormat="false" ht="15" hidden="false" customHeight="false" outlineLevel="0" collapsed="false">
      <c r="A5" s="22" t="s">
        <v>44</v>
      </c>
      <c r="B5" s="22" t="s">
        <v>38</v>
      </c>
      <c r="C5" s="22" t="s">
        <v>45</v>
      </c>
      <c r="D5" s="23" t="n">
        <v>1.496</v>
      </c>
    </row>
    <row r="6" customFormat="false" ht="15" hidden="false" customHeight="false" outlineLevel="0" collapsed="false">
      <c r="A6" s="22" t="s">
        <v>46</v>
      </c>
      <c r="B6" s="22" t="s">
        <v>38</v>
      </c>
      <c r="C6" s="22" t="s">
        <v>47</v>
      </c>
      <c r="D6" s="23" t="n">
        <v>2.036</v>
      </c>
    </row>
    <row r="7" customFormat="false" ht="15" hidden="false" customHeight="false" outlineLevel="0" collapsed="false">
      <c r="A7" s="22" t="s">
        <v>48</v>
      </c>
      <c r="B7" s="22" t="s">
        <v>38</v>
      </c>
      <c r="C7" s="22" t="s">
        <v>49</v>
      </c>
      <c r="D7" s="23" t="n">
        <v>3.356</v>
      </c>
    </row>
    <row r="8" customFormat="false" ht="15" hidden="false" customHeight="false" outlineLevel="0" collapsed="false">
      <c r="A8" s="22" t="s">
        <v>50</v>
      </c>
      <c r="B8" s="22" t="s">
        <v>38</v>
      </c>
      <c r="C8" s="22" t="s">
        <v>51</v>
      </c>
      <c r="D8" s="23" t="n">
        <v>5.858</v>
      </c>
    </row>
    <row r="9" customFormat="false" ht="15" hidden="false" customHeight="false" outlineLevel="0" collapsed="false">
      <c r="A9" s="22" t="s">
        <v>52</v>
      </c>
      <c r="B9" s="22" t="s">
        <v>38</v>
      </c>
      <c r="C9" s="22" t="s">
        <v>53</v>
      </c>
      <c r="D9" s="23" t="n">
        <v>8.846</v>
      </c>
    </row>
    <row r="10" customFormat="false" ht="15" hidden="false" customHeight="false" outlineLevel="0" collapsed="false">
      <c r="A10" s="22" t="s">
        <v>54</v>
      </c>
      <c r="B10" s="22" t="s">
        <v>38</v>
      </c>
      <c r="C10" s="22" t="s">
        <v>55</v>
      </c>
      <c r="D10" s="23" t="n">
        <v>11.545</v>
      </c>
    </row>
    <row r="11" customFormat="false" ht="15" hidden="false" customHeight="false" outlineLevel="0" collapsed="false">
      <c r="A11" s="22" t="s">
        <v>56</v>
      </c>
      <c r="B11" s="22" t="s">
        <v>38</v>
      </c>
      <c r="C11" s="22" t="s">
        <v>57</v>
      </c>
      <c r="D11" s="23" t="n">
        <v>14.753</v>
      </c>
    </row>
    <row r="12" customFormat="false" ht="15" hidden="false" customHeight="false" outlineLevel="0" collapsed="false">
      <c r="A12" s="22" t="s">
        <v>58</v>
      </c>
      <c r="B12" s="22" t="s">
        <v>59</v>
      </c>
      <c r="C12" s="22" t="s">
        <v>39</v>
      </c>
      <c r="D12" s="23" t="n">
        <v>0.285</v>
      </c>
    </row>
    <row r="13" customFormat="false" ht="15" hidden="false" customHeight="false" outlineLevel="0" collapsed="false">
      <c r="A13" s="22" t="s">
        <v>60</v>
      </c>
      <c r="B13" s="22" t="s">
        <v>59</v>
      </c>
      <c r="C13" s="22" t="s">
        <v>41</v>
      </c>
      <c r="D13" s="23" t="n">
        <v>0.508</v>
      </c>
    </row>
    <row r="14" customFormat="false" ht="15" hidden="false" customHeight="false" outlineLevel="0" collapsed="false">
      <c r="A14" s="22" t="s">
        <v>61</v>
      </c>
      <c r="B14" s="22" t="s">
        <v>59</v>
      </c>
      <c r="C14" s="22" t="s">
        <v>43</v>
      </c>
      <c r="D14" s="23" t="n">
        <v>0.832</v>
      </c>
    </row>
    <row r="15" customFormat="false" ht="15" hidden="false" customHeight="false" outlineLevel="0" collapsed="false">
      <c r="A15" s="22" t="s">
        <v>62</v>
      </c>
      <c r="B15" s="22" t="s">
        <v>59</v>
      </c>
      <c r="C15" s="22" t="s">
        <v>45</v>
      </c>
      <c r="D15" s="23" t="n">
        <v>1.453</v>
      </c>
    </row>
    <row r="16" customFormat="false" ht="15" hidden="false" customHeight="false" outlineLevel="0" collapsed="false">
      <c r="A16" s="22" t="s">
        <v>63</v>
      </c>
      <c r="B16" s="22" t="s">
        <v>59</v>
      </c>
      <c r="C16" s="22" t="s">
        <v>47</v>
      </c>
      <c r="D16" s="23" t="n">
        <v>1.986</v>
      </c>
    </row>
    <row r="17" customFormat="false" ht="15" hidden="false" customHeight="false" outlineLevel="0" collapsed="false">
      <c r="A17" s="22" t="s">
        <v>64</v>
      </c>
      <c r="B17" s="22" t="s">
        <v>59</v>
      </c>
      <c r="C17" s="22" t="s">
        <v>49</v>
      </c>
      <c r="D17" s="23" t="n">
        <v>3.291</v>
      </c>
    </row>
    <row r="18" customFormat="false" ht="15" hidden="false" customHeight="false" outlineLevel="0" collapsed="false">
      <c r="A18" s="22" t="s">
        <v>65</v>
      </c>
      <c r="B18" s="22" t="s">
        <v>66</v>
      </c>
      <c r="C18" s="22" t="s">
        <v>39</v>
      </c>
      <c r="D18" s="23" t="n">
        <v>0.314</v>
      </c>
    </row>
    <row r="19" customFormat="false" ht="15" hidden="false" customHeight="false" outlineLevel="0" collapsed="false">
      <c r="A19" s="22" t="s">
        <v>67</v>
      </c>
      <c r="B19" s="22" t="s">
        <v>66</v>
      </c>
      <c r="C19" s="22" t="s">
        <v>41</v>
      </c>
      <c r="D19" s="23" t="n">
        <v>0.549</v>
      </c>
    </row>
    <row r="20" customFormat="false" ht="15" hidden="false" customHeight="false" outlineLevel="0" collapsed="false">
      <c r="A20" s="22" t="s">
        <v>68</v>
      </c>
      <c r="B20" s="22" t="s">
        <v>66</v>
      </c>
      <c r="C20" s="22" t="s">
        <v>43</v>
      </c>
      <c r="D20" s="23" t="n">
        <v>0.887</v>
      </c>
    </row>
    <row r="21" customFormat="false" ht="15" hidden="false" customHeight="false" outlineLevel="0" collapsed="false">
      <c r="A21" s="22" t="s">
        <v>69</v>
      </c>
      <c r="B21" s="22" t="s">
        <v>66</v>
      </c>
      <c r="C21" s="22" t="s">
        <v>45</v>
      </c>
      <c r="D21" s="23" t="n">
        <v>1.526</v>
      </c>
    </row>
    <row r="22" customFormat="false" ht="15" hidden="false" customHeight="false" outlineLevel="0" collapsed="false">
      <c r="A22" s="22" t="s">
        <v>70</v>
      </c>
      <c r="B22" s="22" t="s">
        <v>66</v>
      </c>
      <c r="C22" s="22" t="s">
        <v>47</v>
      </c>
      <c r="D22" s="23" t="n">
        <v>2.071</v>
      </c>
    </row>
    <row r="23" customFormat="false" ht="15" hidden="false" customHeight="false" outlineLevel="0" collapsed="false">
      <c r="A23" s="22" t="s">
        <v>71</v>
      </c>
      <c r="B23" s="22" t="s">
        <v>66</v>
      </c>
      <c r="C23" s="22" t="s">
        <v>49</v>
      </c>
      <c r="D23" s="23" t="n">
        <v>3.408</v>
      </c>
    </row>
    <row r="24" customFormat="false" ht="15" hidden="false" customHeight="false" outlineLevel="0" collapsed="false">
      <c r="A24" s="22" t="s">
        <v>72</v>
      </c>
      <c r="B24" s="22" t="s">
        <v>66</v>
      </c>
      <c r="C24" s="22" t="s">
        <v>51</v>
      </c>
      <c r="D24" s="23" t="n">
        <v>4.866</v>
      </c>
    </row>
    <row r="25" customFormat="false" ht="15" hidden="false" customHeight="false" outlineLevel="0" collapsed="false">
      <c r="A25" s="22" t="s">
        <v>73</v>
      </c>
      <c r="B25" s="22" t="s">
        <v>66</v>
      </c>
      <c r="C25" s="22" t="s">
        <v>53</v>
      </c>
      <c r="D25" s="23" t="n">
        <v>7.499</v>
      </c>
    </row>
    <row r="26" customFormat="false" ht="15" hidden="false" customHeight="false" outlineLevel="0" collapsed="false">
      <c r="A26" s="22" t="s">
        <v>74</v>
      </c>
      <c r="B26" s="22" t="s">
        <v>66</v>
      </c>
      <c r="C26" s="22" t="s">
        <v>55</v>
      </c>
      <c r="D26" s="23" t="n">
        <v>10.01</v>
      </c>
    </row>
    <row r="27" customFormat="false" ht="15" hidden="false" customHeight="false" outlineLevel="0" collapsed="false">
      <c r="A27" s="22" t="s">
        <v>75</v>
      </c>
      <c r="B27" s="22" t="s">
        <v>66</v>
      </c>
      <c r="C27" s="22" t="s">
        <v>57</v>
      </c>
      <c r="D27" s="23" t="n">
        <v>12.882</v>
      </c>
    </row>
    <row r="28" customFormat="false" ht="15" hidden="false" customHeight="false" outlineLevel="0" collapsed="false">
      <c r="A28" s="22" t="s">
        <v>76</v>
      </c>
      <c r="B28" s="22" t="s">
        <v>66</v>
      </c>
      <c r="C28" s="22" t="s">
        <v>77</v>
      </c>
      <c r="D28" s="23" t="n">
        <v>20.212</v>
      </c>
    </row>
    <row r="29" customFormat="false" ht="15" hidden="false" customHeight="false" outlineLevel="0" collapsed="false">
      <c r="A29" s="22" t="s">
        <v>78</v>
      </c>
      <c r="B29" s="22" t="s">
        <v>66</v>
      </c>
      <c r="C29" s="22" t="s">
        <v>79</v>
      </c>
      <c r="D29" s="23" t="n">
        <v>29.158</v>
      </c>
    </row>
    <row r="30" customFormat="false" ht="15" hidden="false" customHeight="false" outlineLevel="0" collapsed="false">
      <c r="A30" s="22" t="s">
        <v>80</v>
      </c>
      <c r="B30" s="22" t="s">
        <v>81</v>
      </c>
      <c r="C30" s="22" t="s">
        <v>39</v>
      </c>
      <c r="D30" s="23" t="n">
        <v>0.285</v>
      </c>
    </row>
    <row r="31" customFormat="false" ht="15" hidden="false" customHeight="false" outlineLevel="0" collapsed="false">
      <c r="A31" s="22" t="s">
        <v>82</v>
      </c>
      <c r="B31" s="22" t="s">
        <v>81</v>
      </c>
      <c r="C31" s="22" t="s">
        <v>41</v>
      </c>
      <c r="D31" s="23" t="n">
        <v>0.508</v>
      </c>
    </row>
    <row r="32" customFormat="false" ht="15" hidden="false" customHeight="false" outlineLevel="0" collapsed="false">
      <c r="A32" s="22" t="s">
        <v>4</v>
      </c>
      <c r="B32" s="22" t="s">
        <v>81</v>
      </c>
      <c r="C32" s="22" t="s">
        <v>43</v>
      </c>
      <c r="D32" s="23" t="n">
        <v>0.832</v>
      </c>
    </row>
    <row r="33" customFormat="false" ht="15" hidden="false" customHeight="false" outlineLevel="0" collapsed="false">
      <c r="A33" s="22" t="s">
        <v>83</v>
      </c>
      <c r="B33" s="22" t="s">
        <v>81</v>
      </c>
      <c r="C33" s="22" t="s">
        <v>45</v>
      </c>
      <c r="D33" s="23" t="n">
        <v>1.453</v>
      </c>
    </row>
    <row r="34" customFormat="false" ht="15" hidden="false" customHeight="false" outlineLevel="0" collapsed="false">
      <c r="A34" s="22" t="s">
        <v>84</v>
      </c>
      <c r="B34" s="22" t="s">
        <v>81</v>
      </c>
      <c r="C34" s="22" t="s">
        <v>47</v>
      </c>
      <c r="D34" s="23" t="n">
        <v>1.986</v>
      </c>
    </row>
    <row r="35" customFormat="false" ht="15" hidden="false" customHeight="false" outlineLevel="0" collapsed="false">
      <c r="A35" s="22" t="s">
        <v>85</v>
      </c>
      <c r="B35" s="22" t="s">
        <v>81</v>
      </c>
      <c r="C35" s="22" t="s">
        <v>49</v>
      </c>
      <c r="D35" s="23" t="n">
        <v>3.291</v>
      </c>
    </row>
    <row r="36" customFormat="false" ht="15" hidden="false" customHeight="false" outlineLevel="0" collapsed="false">
      <c r="A36" s="22" t="s">
        <v>86</v>
      </c>
      <c r="B36" s="22" t="s">
        <v>81</v>
      </c>
      <c r="C36" s="22" t="s">
        <v>51</v>
      </c>
      <c r="D36" s="23" t="n">
        <v>4.695</v>
      </c>
    </row>
    <row r="37" customFormat="false" ht="15" hidden="false" customHeight="false" outlineLevel="0" collapsed="false">
      <c r="A37" s="22" t="s">
        <v>87</v>
      </c>
      <c r="B37" s="22" t="s">
        <v>81</v>
      </c>
      <c r="C37" s="22" t="s">
        <v>53</v>
      </c>
      <c r="D37" s="23" t="n">
        <v>7.268</v>
      </c>
    </row>
    <row r="38" customFormat="false" ht="15" hidden="false" customHeight="false" outlineLevel="0" collapsed="false">
      <c r="A38" s="22" t="s">
        <v>88</v>
      </c>
      <c r="B38" s="22" t="s">
        <v>81</v>
      </c>
      <c r="C38" s="22" t="s">
        <v>55</v>
      </c>
      <c r="D38" s="23" t="n">
        <v>9.737</v>
      </c>
    </row>
    <row r="39" customFormat="false" ht="15" hidden="false" customHeight="false" outlineLevel="0" collapsed="false">
      <c r="A39" s="22" t="s">
        <v>89</v>
      </c>
      <c r="B39" s="22" t="s">
        <v>81</v>
      </c>
      <c r="C39" s="22" t="s">
        <v>57</v>
      </c>
      <c r="D39" s="23" t="n">
        <v>12.554</v>
      </c>
    </row>
    <row r="40" customFormat="false" ht="15" hidden="false" customHeight="false" outlineLevel="0" collapsed="false">
      <c r="A40" s="22" t="s">
        <v>90</v>
      </c>
      <c r="B40" s="22" t="s">
        <v>81</v>
      </c>
      <c r="C40" s="22" t="s">
        <v>77</v>
      </c>
      <c r="D40" s="23" t="n">
        <v>19.761</v>
      </c>
    </row>
    <row r="41" customFormat="false" ht="15" hidden="false" customHeight="false" outlineLevel="0" collapsed="false">
      <c r="A41" s="22" t="s">
        <v>91</v>
      </c>
      <c r="B41" s="22" t="s">
        <v>81</v>
      </c>
      <c r="C41" s="22" t="s">
        <v>79</v>
      </c>
      <c r="D41" s="23" t="n">
        <v>28.567</v>
      </c>
    </row>
    <row r="42" customFormat="false" ht="15" hidden="false" customHeight="false" outlineLevel="0" collapsed="false">
      <c r="A42" s="22" t="s">
        <v>92</v>
      </c>
      <c r="B42" s="22" t="s">
        <v>93</v>
      </c>
      <c r="C42" s="22" t="s">
        <v>39</v>
      </c>
      <c r="D42" s="23" t="n">
        <v>0.217</v>
      </c>
    </row>
    <row r="43" customFormat="false" ht="15" hidden="false" customHeight="false" outlineLevel="0" collapsed="false">
      <c r="A43" s="22" t="s">
        <v>94</v>
      </c>
      <c r="B43" s="22" t="s">
        <v>93</v>
      </c>
      <c r="C43" s="22" t="s">
        <v>41</v>
      </c>
      <c r="D43" s="23" t="n">
        <v>0.409</v>
      </c>
    </row>
    <row r="44" customFormat="false" ht="15" hidden="false" customHeight="false" outlineLevel="0" collapsed="false">
      <c r="A44" s="22" t="s">
        <v>95</v>
      </c>
      <c r="B44" s="22" t="s">
        <v>93</v>
      </c>
      <c r="C44" s="22" t="s">
        <v>43</v>
      </c>
      <c r="D44" s="23" t="n">
        <v>0.688</v>
      </c>
    </row>
    <row r="45" customFormat="false" ht="15" hidden="false" customHeight="false" outlineLevel="0" collapsed="false">
      <c r="A45" s="22" t="s">
        <v>96</v>
      </c>
      <c r="B45" s="22" t="s">
        <v>93</v>
      </c>
      <c r="C45" s="22" t="s">
        <v>45</v>
      </c>
      <c r="D45" s="23" t="n">
        <v>1.237</v>
      </c>
    </row>
    <row r="46" customFormat="false" ht="15" hidden="false" customHeight="false" outlineLevel="0" collapsed="false">
      <c r="A46" s="22" t="s">
        <v>97</v>
      </c>
      <c r="B46" s="22" t="s">
        <v>93</v>
      </c>
      <c r="C46" s="22" t="s">
        <v>47</v>
      </c>
      <c r="D46" s="23" t="n">
        <v>1.711</v>
      </c>
    </row>
    <row r="47" customFormat="false" ht="15" hidden="false" customHeight="false" outlineLevel="0" collapsed="false">
      <c r="A47" s="22" t="s">
        <v>98</v>
      </c>
      <c r="B47" s="22" t="s">
        <v>93</v>
      </c>
      <c r="C47" s="22" t="s">
        <v>49</v>
      </c>
      <c r="D47" s="23" t="n">
        <v>2.874</v>
      </c>
    </row>
    <row r="48" customFormat="false" ht="15" hidden="false" customHeight="false" outlineLevel="0" collapsed="false">
      <c r="A48" s="22" t="s">
        <v>99</v>
      </c>
      <c r="B48" s="22" t="s">
        <v>93</v>
      </c>
      <c r="C48" s="22" t="s">
        <v>51</v>
      </c>
      <c r="D48" s="23" t="n">
        <v>4.119</v>
      </c>
    </row>
    <row r="49" customFormat="false" ht="15" hidden="false" customHeight="false" outlineLevel="0" collapsed="false">
      <c r="A49" s="22" t="s">
        <v>100</v>
      </c>
      <c r="B49" s="22" t="s">
        <v>93</v>
      </c>
      <c r="C49" s="22" t="s">
        <v>53</v>
      </c>
      <c r="D49" s="23" t="n">
        <v>6.442</v>
      </c>
    </row>
    <row r="50" customFormat="false" ht="15" hidden="false" customHeight="false" outlineLevel="0" collapsed="false">
      <c r="A50" s="22" t="s">
        <v>101</v>
      </c>
      <c r="B50" s="22" t="s">
        <v>93</v>
      </c>
      <c r="C50" s="22" t="s">
        <v>55</v>
      </c>
      <c r="D50" s="23" t="n">
        <v>8.688</v>
      </c>
    </row>
    <row r="51" customFormat="false" ht="15" hidden="false" customHeight="false" outlineLevel="0" collapsed="false">
      <c r="A51" s="22" t="s">
        <v>102</v>
      </c>
      <c r="B51" s="22" t="s">
        <v>93</v>
      </c>
      <c r="C51" s="22" t="s">
        <v>57</v>
      </c>
      <c r="D51" s="23" t="n">
        <v>11.258</v>
      </c>
    </row>
    <row r="52" customFormat="false" ht="15" hidden="false" customHeight="false" outlineLevel="0" collapsed="false">
      <c r="A52" s="22" t="s">
        <v>103</v>
      </c>
      <c r="B52" s="22" t="s">
        <v>93</v>
      </c>
      <c r="C52" s="22" t="s">
        <v>77</v>
      </c>
      <c r="D52" s="23" t="n">
        <v>17.855</v>
      </c>
    </row>
    <row r="53" customFormat="false" ht="15" hidden="false" customHeight="false" outlineLevel="0" collapsed="false">
      <c r="A53" s="22" t="s">
        <v>104</v>
      </c>
      <c r="B53" s="22" t="s">
        <v>93</v>
      </c>
      <c r="C53" s="22" t="s">
        <v>79</v>
      </c>
      <c r="D53" s="23" t="n">
        <v>25.598</v>
      </c>
    </row>
    <row r="54" customFormat="false" ht="15" hidden="false" customHeight="false" outlineLevel="0" collapsed="false">
      <c r="A54" s="22" t="s">
        <v>105</v>
      </c>
      <c r="B54" s="22" t="s">
        <v>106</v>
      </c>
      <c r="C54" s="22" t="s">
        <v>41</v>
      </c>
      <c r="D54" s="23" t="n">
        <v>0.24</v>
      </c>
    </row>
    <row r="55" customFormat="false" ht="15" hidden="false" customHeight="false" outlineLevel="0" collapsed="false">
      <c r="A55" s="22" t="s">
        <v>107</v>
      </c>
      <c r="B55" s="22" t="s">
        <v>106</v>
      </c>
      <c r="C55" s="22" t="s">
        <v>43</v>
      </c>
      <c r="D55" s="23" t="n">
        <v>0.442</v>
      </c>
    </row>
    <row r="56" customFormat="false" ht="15" hidden="false" customHeight="false" outlineLevel="0" collapsed="false">
      <c r="A56" s="22" t="s">
        <v>108</v>
      </c>
      <c r="B56" s="22" t="s">
        <v>106</v>
      </c>
      <c r="C56" s="22" t="s">
        <v>45</v>
      </c>
      <c r="D56" s="23" t="n">
        <v>0.694</v>
      </c>
    </row>
    <row r="57" customFormat="false" ht="15" hidden="false" customHeight="false" outlineLevel="0" collapsed="false">
      <c r="A57" s="22" t="s">
        <v>109</v>
      </c>
      <c r="B57" s="22" t="s">
        <v>106</v>
      </c>
      <c r="C57" s="22" t="s">
        <v>47</v>
      </c>
      <c r="D57" s="23" t="n">
        <v>0.985</v>
      </c>
    </row>
    <row r="58" customFormat="false" ht="15" hidden="false" customHeight="false" outlineLevel="0" collapsed="false">
      <c r="A58" s="22" t="s">
        <v>110</v>
      </c>
      <c r="B58" s="22" t="s">
        <v>106</v>
      </c>
      <c r="C58" s="22" t="s">
        <v>49</v>
      </c>
      <c r="D58" s="23" t="n">
        <v>1.744</v>
      </c>
    </row>
    <row r="59" customFormat="false" ht="15" hidden="false" customHeight="false" outlineLevel="0" collapsed="false">
      <c r="A59" s="22" t="s">
        <v>111</v>
      </c>
      <c r="B59" s="22" t="s">
        <v>112</v>
      </c>
      <c r="C59" s="22" t="s">
        <v>41</v>
      </c>
      <c r="D59" s="23" t="n">
        <v>0.267</v>
      </c>
    </row>
    <row r="60" customFormat="false" ht="15" hidden="false" customHeight="false" outlineLevel="0" collapsed="false">
      <c r="A60" s="22" t="s">
        <v>113</v>
      </c>
      <c r="B60" s="22" t="s">
        <v>112</v>
      </c>
      <c r="C60" s="22" t="s">
        <v>43</v>
      </c>
      <c r="D60" s="23" t="n">
        <v>0.487</v>
      </c>
    </row>
    <row r="61" customFormat="false" ht="15" hidden="false" customHeight="false" outlineLevel="0" collapsed="false">
      <c r="A61" s="22" t="s">
        <v>114</v>
      </c>
      <c r="B61" s="22" t="s">
        <v>112</v>
      </c>
      <c r="C61" s="22" t="s">
        <v>45</v>
      </c>
      <c r="D61" s="23" t="n">
        <v>0.762</v>
      </c>
    </row>
    <row r="62" customFormat="false" ht="15" hidden="false" customHeight="false" outlineLevel="0" collapsed="false">
      <c r="A62" s="22" t="s">
        <v>115</v>
      </c>
      <c r="B62" s="22" t="s">
        <v>112</v>
      </c>
      <c r="C62" s="22" t="s">
        <v>47</v>
      </c>
      <c r="D62" s="23" t="n">
        <v>1.081</v>
      </c>
    </row>
    <row r="63" customFormat="false" ht="15" hidden="false" customHeight="false" outlineLevel="0" collapsed="false">
      <c r="A63" s="22" t="s">
        <v>116</v>
      </c>
      <c r="B63" s="22" t="s">
        <v>112</v>
      </c>
      <c r="C63" s="22" t="s">
        <v>49</v>
      </c>
      <c r="D63" s="23" t="n">
        <v>1.909</v>
      </c>
    </row>
    <row r="65" customFormat="false" ht="15" hidden="false" customHeight="false" outlineLevel="0" collapsed="false">
      <c r="A65" s="8" t="s">
        <v>117</v>
      </c>
      <c r="B65" s="8"/>
      <c r="C65" s="8"/>
      <c r="D65" s="8"/>
    </row>
    <row r="66" customFormat="false" ht="15" hidden="false" customHeight="false" outlineLevel="0" collapsed="false">
      <c r="A66" s="24" t="s">
        <v>118</v>
      </c>
      <c r="B66" s="24"/>
      <c r="C66" s="24"/>
      <c r="D66" s="24"/>
    </row>
  </sheetData>
  <mergeCells count="2">
    <mergeCell ref="A65:D65"/>
    <mergeCell ref="A66: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26.85" hidden="false" customHeight="false" outlineLevel="0" collapsed="false">
      <c r="A1" s="9" t="s">
        <v>33</v>
      </c>
      <c r="B1" s="9" t="s">
        <v>119</v>
      </c>
      <c r="C1" s="9" t="s">
        <v>14</v>
      </c>
      <c r="D1" s="9" t="s">
        <v>15</v>
      </c>
      <c r="E1" s="9" t="s">
        <v>120</v>
      </c>
    </row>
    <row r="2" customFormat="false" ht="15" hidden="false" customHeight="false" outlineLevel="0" collapsed="false">
      <c r="A2" s="22" t="s">
        <v>19</v>
      </c>
      <c r="B2" s="22" t="s">
        <v>21</v>
      </c>
      <c r="C2" s="25" t="n">
        <v>0.079</v>
      </c>
      <c r="D2" s="25" t="n">
        <v>0.197</v>
      </c>
      <c r="E2" s="23" t="n">
        <f aca="false">PI()*(C2/2)*(D2/2)</f>
        <v>0.0122231516169545</v>
      </c>
    </row>
    <row r="3" customFormat="false" ht="15" hidden="false" customHeight="false" outlineLevel="0" collapsed="false">
      <c r="A3" s="22" t="s">
        <v>121</v>
      </c>
      <c r="B3" s="22" t="s">
        <v>21</v>
      </c>
      <c r="C3" s="25" t="n">
        <v>0.079</v>
      </c>
      <c r="D3" s="25" t="n">
        <v>0.228</v>
      </c>
      <c r="E3" s="23" t="n">
        <f aca="false">PI()*(C3/2)*(D3/2)</f>
        <v>0.0141465917191148</v>
      </c>
    </row>
    <row r="4" customFormat="false" ht="15" hidden="false" customHeight="false" outlineLevel="0" collapsed="false">
      <c r="A4" s="22" t="s">
        <v>122</v>
      </c>
      <c r="B4" s="22" t="s">
        <v>21</v>
      </c>
      <c r="C4" s="25" t="n">
        <v>0.098</v>
      </c>
      <c r="D4" s="25" t="n">
        <v>0.256</v>
      </c>
      <c r="E4" s="23" t="n">
        <f aca="false">PI()*(C4/2)*(D4/2)</f>
        <v>0.0197040691233152</v>
      </c>
    </row>
    <row r="5" customFormat="false" ht="15" hidden="false" customHeight="false" outlineLevel="0" collapsed="false">
      <c r="A5" s="22" t="s">
        <v>123</v>
      </c>
      <c r="B5" s="22" t="s">
        <v>21</v>
      </c>
      <c r="C5" s="25" t="n">
        <v>0.118</v>
      </c>
      <c r="D5" s="25" t="n">
        <v>0.315</v>
      </c>
      <c r="E5" s="23" t="n">
        <f aca="false">PI()*(C5/2)*(D5/2)</f>
        <v>0.0291932497334832</v>
      </c>
    </row>
    <row r="6" customFormat="false" ht="15" hidden="false" customHeight="false" outlineLevel="0" collapsed="false">
      <c r="A6" s="22" t="s">
        <v>124</v>
      </c>
      <c r="B6" s="22" t="s">
        <v>125</v>
      </c>
      <c r="C6" s="25" t="n">
        <v>0.256</v>
      </c>
      <c r="D6" s="16"/>
      <c r="E6" s="23" t="n">
        <f aca="false">PI()*(C6/2)^2</f>
        <v>0.0514718540364152</v>
      </c>
    </row>
    <row r="7" customFormat="false" ht="15" hidden="false" customHeight="false" outlineLevel="0" collapsed="false">
      <c r="A7" s="22" t="s">
        <v>126</v>
      </c>
      <c r="B7" s="22" t="s">
        <v>125</v>
      </c>
      <c r="C7" s="25" t="n">
        <v>0.118</v>
      </c>
      <c r="D7" s="16"/>
      <c r="E7" s="23" t="n">
        <f aca="false">PI()*(C7/2)^2</f>
        <v>0.0109358840271461</v>
      </c>
    </row>
    <row r="8" customFormat="false" ht="15" hidden="false" customHeight="false" outlineLevel="0" collapsed="false">
      <c r="A8" s="22" t="s">
        <v>127</v>
      </c>
      <c r="B8" s="22" t="s">
        <v>125</v>
      </c>
      <c r="C8" s="25" t="n">
        <v>0.079</v>
      </c>
      <c r="D8" s="16"/>
      <c r="E8" s="23" t="n">
        <f aca="false">PI()*(C8/2)^2</f>
        <v>0.00490166993776347</v>
      </c>
    </row>
    <row r="9" customFormat="false" ht="15" hidden="false" customHeight="false" outlineLevel="0" collapsed="false">
      <c r="A9" s="22" t="s">
        <v>20</v>
      </c>
      <c r="B9" s="22" t="s">
        <v>128</v>
      </c>
      <c r="C9" s="16"/>
      <c r="D9" s="16"/>
      <c r="E9" s="22"/>
    </row>
    <row r="11" customFormat="false" ht="45" hidden="false" customHeight="true" outlineLevel="0" collapsed="false">
      <c r="A11" s="24" t="s">
        <v>129</v>
      </c>
      <c r="B11" s="24"/>
      <c r="C11" s="24"/>
      <c r="D11" s="24"/>
      <c r="E11" s="24"/>
    </row>
    <row r="13" customFormat="false" ht="30" hidden="false" customHeight="true" outlineLevel="0" collapsed="false">
      <c r="A13" s="8" t="s">
        <v>130</v>
      </c>
      <c r="B13" s="8"/>
      <c r="C13" s="8"/>
      <c r="D13" s="8"/>
      <c r="E13" s="8"/>
    </row>
  </sheetData>
  <mergeCells count="2">
    <mergeCell ref="A11:E1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131</v>
      </c>
    </row>
    <row r="4" customFormat="false" ht="15" hidden="false" customHeight="false" outlineLevel="0" collapsed="false">
      <c r="B4" s="26" t="s">
        <v>132</v>
      </c>
    </row>
    <row r="5" customFormat="false" ht="60" hidden="false" customHeight="true" outlineLevel="0" collapsed="false">
      <c r="B5" s="27" t="s">
        <v>133</v>
      </c>
    </row>
    <row r="7" customFormat="false" ht="15" hidden="false" customHeight="false" outlineLevel="0" collapsed="false">
      <c r="B7" s="26" t="s">
        <v>134</v>
      </c>
    </row>
    <row r="8" customFormat="false" ht="60" hidden="false" customHeight="true" outlineLevel="0" collapsed="false">
      <c r="B8" s="27" t="s">
        <v>135</v>
      </c>
    </row>
    <row r="10" customFormat="false" ht="15" hidden="false" customHeight="false" outlineLevel="0" collapsed="false">
      <c r="B10" s="26" t="s">
        <v>136</v>
      </c>
    </row>
    <row r="11" customFormat="false" ht="60" hidden="false" customHeight="true" outlineLevel="0" collapsed="false">
      <c r="B11" s="27" t="s">
        <v>137</v>
      </c>
    </row>
    <row r="13" customFormat="false" ht="15" hidden="false" customHeight="false" outlineLevel="0" collapsed="false">
      <c r="B13" s="26" t="s">
        <v>138</v>
      </c>
    </row>
    <row r="14" customFormat="false" ht="60" hidden="false" customHeight="true" outlineLevel="0" collapsed="false">
      <c r="B14" s="27" t="s">
        <v>139</v>
      </c>
    </row>
    <row r="16" customFormat="false" ht="15" hidden="false" customHeight="false" outlineLevel="0" collapsed="false">
      <c r="B16" s="26" t="s">
        <v>140</v>
      </c>
    </row>
    <row r="17" customFormat="false" ht="60" hidden="false" customHeight="true" outlineLevel="0" collapsed="false">
      <c r="B17" s="27" t="s">
        <v>141</v>
      </c>
    </row>
    <row r="19" customFormat="false" ht="15" hidden="false" customHeight="false" outlineLevel="0" collapsed="false">
      <c r="B19" s="26" t="s">
        <v>142</v>
      </c>
    </row>
    <row r="20" customFormat="false" ht="60" hidden="false" customHeight="true" outlineLevel="0" collapsed="false">
      <c r="B20" s="27" t="s">
        <v>143</v>
      </c>
    </row>
    <row r="22" customFormat="false" ht="15" hidden="false" customHeight="false" outlineLevel="0" collapsed="false">
      <c r="B22" s="26" t="s">
        <v>144</v>
      </c>
    </row>
    <row r="23" customFormat="false" ht="60" hidden="false" customHeight="true" outlineLevel="0" collapsed="false">
      <c r="B23" s="27" t="s">
        <v>145</v>
      </c>
    </row>
    <row r="25" customFormat="false" ht="15" hidden="false" customHeight="false" outlineLevel="0" collapsed="false">
      <c r="B25" s="26" t="s">
        <v>146</v>
      </c>
    </row>
    <row r="26" customFormat="false" ht="60" hidden="false" customHeight="true" outlineLevel="0" collapsed="false">
      <c r="B26" s="2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2026-08-20T00:25:08Z</dcterms:created>
  <dc:creator>openpyxl</dc:creator>
  <dc:description/>
  <dc:language>en-US</dc:language>
  <cp:lastModifiedBy/>
  <dcterms:modified xsi:type="dcterms:W3CDTF">2026-08-20T00:25:08Z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